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er/Box Sync/Projects/20221109_desktop_local_Guzhen_PRT/Results/"/>
    </mc:Choice>
  </mc:AlternateContent>
  <xr:revisionPtr revIDLastSave="0" documentId="8_{3438B9FD-3732-DC48-A5B7-974A7DC4B96D}" xr6:coauthVersionLast="47" xr6:coauthVersionMax="47" xr10:uidLastSave="{00000000-0000-0000-0000-000000000000}"/>
  <bookViews>
    <workbookView xWindow="3860" yWindow="2200" windowWidth="28100" windowHeight="17440" xr2:uid="{CBF7A34D-428A-494F-89D7-DD3AA6E111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F7" i="1"/>
  <c r="E7" i="1"/>
  <c r="C5" i="1"/>
  <c r="D5" i="1"/>
  <c r="E5" i="1"/>
  <c r="F5" i="1"/>
  <c r="G5" i="1"/>
  <c r="C6" i="1"/>
  <c r="D6" i="1"/>
  <c r="E6" i="1"/>
  <c r="F6" i="1"/>
  <c r="G6" i="1"/>
  <c r="B6" i="1"/>
  <c r="B5" i="1"/>
</calcChain>
</file>

<file path=xl/sharedStrings.xml><?xml version="1.0" encoding="utf-8"?>
<sst xmlns="http://schemas.openxmlformats.org/spreadsheetml/2006/main" count="17" uniqueCount="17">
  <si>
    <t>WT_2</t>
  </si>
  <si>
    <t>WT_5</t>
  </si>
  <si>
    <t>WT_8</t>
  </si>
  <si>
    <t>KO_2</t>
  </si>
  <si>
    <t>KO_5</t>
  </si>
  <si>
    <t>KO_8</t>
  </si>
  <si>
    <t>AVG</t>
  </si>
  <si>
    <t>SEM</t>
  </si>
  <si>
    <t>WT</t>
  </si>
  <si>
    <t>KO</t>
  </si>
  <si>
    <t>h_2</t>
  </si>
  <si>
    <t>h_5</t>
  </si>
  <si>
    <t>h_8</t>
  </si>
  <si>
    <t>RAW2</t>
  </si>
  <si>
    <t>RAW3</t>
  </si>
  <si>
    <t>RAW1</t>
  </si>
  <si>
    <t>Independent t-test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</si>
</sst>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sz val="12"/>
      <color rgb="FFFF0000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Sheet1!$A$10</c:f>
              <c:strCache>
                <c:ptCount val="1"/>
                <c:pt idx="0">
                  <c:v>WT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Sheet1!$B$6:$D$6</c:f>
                <c:numCache>
                  <c:formatCode>General</c:formatCode>
                  <c:ptCount val="3"/>
                  <c:pt idx="0">
                    <c:v>114.28084187708082</c:v>
                  </c:pt>
                  <c:pt idx="1">
                    <c:v>35.952149016246175</c:v>
                  </c:pt>
                  <c:pt idx="2">
                    <c:v>136.34801458970202</c:v>
                  </c:pt>
                </c:numCache>
              </c:numRef>
            </c:plus>
            <c:minus>
              <c:numRef>
                <c:f>Sheet1!$B$6:$D$6</c:f>
                <c:numCache>
                  <c:formatCode>General</c:formatCode>
                  <c:ptCount val="3"/>
                  <c:pt idx="0">
                    <c:v>114.28084187708082</c:v>
                  </c:pt>
                  <c:pt idx="1">
                    <c:v>35.952149016246175</c:v>
                  </c:pt>
                  <c:pt idx="2">
                    <c:v>136.34801458970202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Sheet1!$B$9:$D$9</c:f>
              <c:strCache>
                <c:ptCount val="3"/>
                <c:pt idx="0">
                  <c:v>h_2</c:v>
                </c:pt>
                <c:pt idx="1">
                  <c:v>h_5</c:v>
                </c:pt>
                <c:pt idx="2">
                  <c:v>h_8</c:v>
                </c:pt>
              </c:strCache>
            </c:strRef>
          </c:cat>
          <c:val>
            <c:numRef>
              <c:f>Sheet1!$B$10:$D$10</c:f>
              <c:numCache>
                <c:formatCode>General</c:formatCode>
                <c:ptCount val="3"/>
                <c:pt idx="0">
                  <c:v>1537.6666666666667</c:v>
                </c:pt>
                <c:pt idx="1">
                  <c:v>1410.6666666666667</c:v>
                </c:pt>
                <c:pt idx="2">
                  <c:v>1733.3333333333333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43-0A41-BBD6-D403EF5BA4B7}"/>
            </c:ext>
          </c:extLst>
        </c:ser>
        <c:ser>
          <c:idx val="1"/>
          <c:order val="1"/>
          <c:tx>
            <c:strRef>
              <c:f>Sheet1!$A$11</c:f>
              <c:strCache>
                <c:ptCount val="1"/>
                <c:pt idx="0">
                  <c:v>KO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Sheet1!$E$6:$G$6</c:f>
                <c:numCache>
                  <c:formatCode>General</c:formatCode>
                  <c:ptCount val="3"/>
                  <c:pt idx="0">
                    <c:v>9.7225792679402545</c:v>
                  </c:pt>
                  <c:pt idx="1">
                    <c:v>67.103352104636556</c:v>
                  </c:pt>
                  <c:pt idx="2">
                    <c:v>21.408060977100568</c:v>
                  </c:pt>
                </c:numCache>
              </c:numRef>
            </c:plus>
            <c:minus>
              <c:numRef>
                <c:f>Sheet1!$E$6:$G$6</c:f>
                <c:numCache>
                  <c:formatCode>General</c:formatCode>
                  <c:ptCount val="3"/>
                  <c:pt idx="0">
                    <c:v>9.7225792679402545</c:v>
                  </c:pt>
                  <c:pt idx="1">
                    <c:v>67.103352104636556</c:v>
                  </c:pt>
                  <c:pt idx="2">
                    <c:v>21.408060977100568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Sheet1!$B$9:$D$9</c:f>
              <c:strCache>
                <c:ptCount val="3"/>
                <c:pt idx="0">
                  <c:v>h_2</c:v>
                </c:pt>
                <c:pt idx="1">
                  <c:v>h_5</c:v>
                </c:pt>
                <c:pt idx="2">
                  <c:v>h_8</c:v>
                </c:pt>
              </c:strCache>
            </c:strRef>
          </c:cat>
          <c:val>
            <c:numRef>
              <c:f>Sheet1!$B$11:$D$11</c:f>
              <c:numCache>
                <c:formatCode>General</c:formatCode>
                <c:ptCount val="3"/>
                <c:pt idx="0">
                  <c:v>1544</c:v>
                </c:pt>
                <c:pt idx="1">
                  <c:v>1635</c:v>
                </c:pt>
                <c:pt idx="2">
                  <c:v>1471.6666666666667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43-0A41-BBD6-D403EF5BA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6181936"/>
        <c:axId val="1370719152"/>
      </c:lineChart>
      <c:catAx>
        <c:axId val="141618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70719152"/>
        <c:crosses val="autoZero"/>
        <c:auto val="1"/>
        <c:lblAlgn val="ctr"/>
        <c:lblOffset val="100"/>
        <c:noMultiLvlLbl val="0"/>
      </c:catAx>
      <c:valAx>
        <c:axId val="1370719152"/>
        <c:scaling>
          <c:orientation val="minMax"/>
          <c:min val="12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1618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12</xdr:row>
      <xdr:rowOff>12700</xdr:rowOff>
    </xdr:from>
    <xdr:to>
      <xdr:col>5</xdr:col>
      <xdr:colOff>781050</xdr:colOff>
      <xdr:row>25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7905C4A-5419-7594-9F33-E5EC13713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C4DB6-655B-7D4D-B982-1CC281AA76A8}">
  <dimension ref="A1:H11"/>
  <sheetViews>
    <sheetView tabSelected="1" workbookViewId="0">
      <selection activeCell="J24" sqref="J24"/>
    </sheetView>
  </sheetViews>
  <sheetFormatPr baseColWidth="10" defaultRowHeight="16"/>
  <cols>
    <col min="2" max="7" width="10.7109375" style="2"/>
    <col min="8" max="8" width="15" style="1" bestFit="1" customWidth="1"/>
  </cols>
  <sheetData>
    <row r="1" spans="1:8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8">
      <c r="A2" t="s">
        <v>15</v>
      </c>
      <c r="B2" s="2">
        <v>1489</v>
      </c>
      <c r="C2" s="2">
        <v>1430</v>
      </c>
      <c r="D2" s="2">
        <v>1547</v>
      </c>
      <c r="E2" s="2">
        <v>1547</v>
      </c>
      <c r="F2" s="2">
        <v>1558</v>
      </c>
      <c r="G2" s="2">
        <v>1444</v>
      </c>
    </row>
    <row r="3" spans="1:8">
      <c r="A3" t="s">
        <v>13</v>
      </c>
      <c r="B3" s="2">
        <v>1406</v>
      </c>
      <c r="C3" s="2">
        <v>1353</v>
      </c>
      <c r="D3" s="2">
        <v>1721</v>
      </c>
      <c r="E3" s="2">
        <v>1529</v>
      </c>
      <c r="F3" s="2">
        <v>1741</v>
      </c>
      <c r="G3" s="2">
        <v>1504</v>
      </c>
    </row>
    <row r="4" spans="1:8">
      <c r="A4" t="s">
        <v>14</v>
      </c>
      <c r="B4" s="2">
        <v>1718</v>
      </c>
      <c r="C4" s="2">
        <v>1449</v>
      </c>
      <c r="D4" s="2">
        <v>1932</v>
      </c>
      <c r="E4" s="2">
        <v>1556</v>
      </c>
      <c r="F4" s="2">
        <v>1606</v>
      </c>
      <c r="G4" s="2">
        <v>1467</v>
      </c>
    </row>
    <row r="5" spans="1:8">
      <c r="B5" s="2">
        <f>AVERAGE(B2:B4)</f>
        <v>1537.6666666666667</v>
      </c>
      <c r="C5" s="2">
        <f t="shared" ref="C5:G5" si="0">AVERAGE(C2:C4)</f>
        <v>1410.6666666666667</v>
      </c>
      <c r="D5" s="2">
        <f t="shared" si="0"/>
        <v>1733.3333333333333</v>
      </c>
      <c r="E5" s="2">
        <f t="shared" si="0"/>
        <v>1544</v>
      </c>
      <c r="F5" s="2">
        <f t="shared" si="0"/>
        <v>1635</v>
      </c>
      <c r="G5" s="2">
        <f t="shared" si="0"/>
        <v>1471.6666666666667</v>
      </c>
      <c r="H5" s="1" t="s">
        <v>6</v>
      </c>
    </row>
    <row r="6" spans="1:8">
      <c r="B6" s="2">
        <f>STDEV(B2:B4)/1.414</f>
        <v>114.28084187708082</v>
      </c>
      <c r="C6" s="2">
        <f t="shared" ref="C6:G6" si="1">STDEV(C2:C4)/1.414</f>
        <v>35.952149016246175</v>
      </c>
      <c r="D6" s="2">
        <f t="shared" si="1"/>
        <v>136.34801458970202</v>
      </c>
      <c r="E6" s="2">
        <f t="shared" si="1"/>
        <v>9.7225792679402545</v>
      </c>
      <c r="F6" s="2">
        <f t="shared" si="1"/>
        <v>67.103352104636556</v>
      </c>
      <c r="G6" s="2">
        <f t="shared" si="1"/>
        <v>21.408060977100568</v>
      </c>
      <c r="H6" s="1" t="s">
        <v>7</v>
      </c>
    </row>
    <row r="7" spans="1:8">
      <c r="E7" s="2">
        <f>TTEST(E2:E4,B2:B4,2,3)</f>
        <v>0.95214793952842414</v>
      </c>
      <c r="F7" s="3">
        <f>TTEST(F2:F4,C2:C4,1,3)</f>
        <v>1.7665687568084173E-2</v>
      </c>
      <c r="G7" s="2">
        <f>TTEST(D2:D4,G2:G4,2,3)</f>
        <v>0.13996244421683643</v>
      </c>
      <c r="H7" s="1" t="s">
        <v>16</v>
      </c>
    </row>
    <row r="9" spans="1:8">
      <c r="B9" s="2" t="s">
        <v>10</v>
      </c>
      <c r="C9" s="2" t="s">
        <v>11</v>
      </c>
      <c r="D9" s="2" t="s">
        <v>12</v>
      </c>
    </row>
    <row r="10" spans="1:8">
      <c r="A10" t="s">
        <v>8</v>
      </c>
      <c r="B10" s="2">
        <v>1537.6666666666667</v>
      </c>
      <c r="C10" s="2">
        <v>1410.6666666666667</v>
      </c>
      <c r="D10" s="2">
        <v>1733.3333333333333</v>
      </c>
    </row>
    <row r="11" spans="1:8">
      <c r="A11" t="s">
        <v>9</v>
      </c>
      <c r="B11" s="2">
        <v>1544</v>
      </c>
      <c r="C11" s="2">
        <v>1635</v>
      </c>
      <c r="D11" s="2">
        <v>1471.6666666666667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Hengyi Xu (Peter)</dc:creator>
  <cp:lastModifiedBy>Hengyi Xu (Peter)</cp:lastModifiedBy>
  <dcterms:created xsi:type="dcterms:W3CDTF">2024-12-22T20:00:09Z</dcterms:created>
  <dcterms:modified xsi:type="dcterms:W3CDTF">2024-12-25T18:07:14Z</dcterms:modified>
</cp:coreProperties>
</file>